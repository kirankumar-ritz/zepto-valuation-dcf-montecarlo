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\OneDrive\Desktop\Projects\Finance Projects\"/>
    </mc:Choice>
  </mc:AlternateContent>
  <xr:revisionPtr revIDLastSave="0" documentId="8_{89EAEF27-E3DC-4D8A-AE2E-63C4129C8E40}" xr6:coauthVersionLast="47" xr6:coauthVersionMax="47" xr10:uidLastSave="{00000000-0000-0000-0000-000000000000}"/>
  <bookViews>
    <workbookView xWindow="-108" yWindow="-108" windowWidth="23256" windowHeight="12456" xr2:uid="{53F7B2FB-3FE9-4BA4-84AF-981EC4E32078}"/>
  </bookViews>
  <sheets>
    <sheet name="Calculations" sheetId="1" r:id="rId1"/>
    <sheet name="Pivot Tables" sheetId="3" r:id="rId2"/>
    <sheet name="Dashboard" sheetId="2" r:id="rId3"/>
  </sheet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7" i="1" l="1"/>
  <c r="AC9" i="1"/>
  <c r="AC8" i="1"/>
  <c r="AC10" i="1"/>
  <c r="AC11" i="1"/>
  <c r="AC12" i="1"/>
  <c r="AB8" i="1"/>
  <c r="AB9" i="1"/>
  <c r="AB10" i="1"/>
  <c r="AB11" i="1"/>
  <c r="AB12" i="1"/>
  <c r="AB7" i="1"/>
  <c r="AC7" i="1" s="1"/>
  <c r="X7" i="1"/>
  <c r="S8" i="1"/>
  <c r="X8" i="1" s="1"/>
  <c r="G8" i="1"/>
  <c r="G9" i="1" s="1"/>
  <c r="G10" i="1" l="1"/>
  <c r="S9" i="1"/>
  <c r="X9" i="1" s="1"/>
  <c r="AC13" i="1"/>
  <c r="G11" i="1" l="1"/>
  <c r="S10" i="1"/>
  <c r="X10" i="1" s="1"/>
  <c r="G12" i="1" l="1"/>
  <c r="S12" i="1" s="1"/>
  <c r="X12" i="1" s="1"/>
  <c r="AF6" i="1" s="1"/>
  <c r="AF12" i="1" s="1"/>
  <c r="S11" i="1"/>
  <c r="X11" i="1" s="1"/>
</calcChain>
</file>

<file path=xl/sharedStrings.xml><?xml version="1.0" encoding="utf-8"?>
<sst xmlns="http://schemas.openxmlformats.org/spreadsheetml/2006/main" count="73" uniqueCount="63">
  <si>
    <t>Revenue Growth Rate</t>
  </si>
  <si>
    <t>Year</t>
  </si>
  <si>
    <t>Growth % (Assumption)</t>
  </si>
  <si>
    <t>Revenue(Cr)</t>
  </si>
  <si>
    <t>EBITDA Margin Projections</t>
  </si>
  <si>
    <t>EBITDA Margin</t>
  </si>
  <si>
    <t>EBITDA(Cr)</t>
  </si>
  <si>
    <t>EBITDA= Revenue*EBITDA Margin</t>
  </si>
  <si>
    <t>Revenue= Year1 Revenue*(1+G)</t>
  </si>
  <si>
    <t>Capital Expenditure</t>
  </si>
  <si>
    <t>Capital Expenditure(Cr)</t>
  </si>
  <si>
    <t>RS 700Cr CapEx</t>
  </si>
  <si>
    <t>Parameter</t>
  </si>
  <si>
    <t>Value/Assumption</t>
  </si>
  <si>
    <t>Base Revenue</t>
  </si>
  <si>
    <t>2024Cr</t>
  </si>
  <si>
    <t>100%--&gt;30% over 5 years</t>
  </si>
  <si>
    <t>Growth Rate</t>
  </si>
  <si>
    <t>CapEx</t>
  </si>
  <si>
    <t>Wc Changes</t>
  </si>
  <si>
    <t>Tax Rate</t>
  </si>
  <si>
    <t>WACC</t>
  </si>
  <si>
    <t>Terminal Growth rate</t>
  </si>
  <si>
    <t>(-35%) to + 10%</t>
  </si>
  <si>
    <t>700Cr Total 5 years</t>
  </si>
  <si>
    <t>5% of revenue/year</t>
  </si>
  <si>
    <t>25%(from 2026)</t>
  </si>
  <si>
    <t>Revenue</t>
  </si>
  <si>
    <t>EBITDA</t>
  </si>
  <si>
    <t>TAX</t>
  </si>
  <si>
    <t>Chg.WC</t>
  </si>
  <si>
    <t>FCFF</t>
  </si>
  <si>
    <t>DEP &amp; AMOR</t>
  </si>
  <si>
    <t>FCFF=EBITDA-Taxes+DEP-CapEx-Changes in WC</t>
  </si>
  <si>
    <t>TAX Rate = 25% ONLY on Positive values</t>
  </si>
  <si>
    <t>EBIT= EBITDA-DEP</t>
  </si>
  <si>
    <t>Changes In WC = 5% of revenue</t>
  </si>
  <si>
    <t xml:space="preserve">CapEx = Annual Spend </t>
  </si>
  <si>
    <t xml:space="preserve">DEP= 5% of Revenue </t>
  </si>
  <si>
    <t>Discounted Cashflow oF FCFF Using WACC</t>
  </si>
  <si>
    <t>Dicount Factor/WACC</t>
  </si>
  <si>
    <t>Total</t>
  </si>
  <si>
    <t>Terminal Value (Gardon Growth Model )</t>
  </si>
  <si>
    <t>PV Terminal Value</t>
  </si>
  <si>
    <t>Terminal Value=FCFF in Fy28*(1+g)/(WACC-Growth)</t>
  </si>
  <si>
    <t>PV (terminal value For 6th Year (Present)</t>
  </si>
  <si>
    <t>Pv (Terminal)</t>
  </si>
  <si>
    <t>Final Enterprise Valuation of ZEPTO</t>
  </si>
  <si>
    <t>Component</t>
  </si>
  <si>
    <t>Value(Cr)</t>
  </si>
  <si>
    <t>PV of FCFF (2023-2028)</t>
  </si>
  <si>
    <t>Pv of Terminal Value</t>
  </si>
  <si>
    <t>Enterprise Value</t>
  </si>
  <si>
    <t>18410Cr(~$2.2Billion)</t>
  </si>
  <si>
    <t>In Crores</t>
  </si>
  <si>
    <t>FCFF Calculation(Crores)</t>
  </si>
  <si>
    <t>FCFF(Cr)</t>
  </si>
  <si>
    <t>Present value of Cashflow(Cr)</t>
  </si>
  <si>
    <t>8% - 12%(10% average)</t>
  </si>
  <si>
    <t>Row Labels</t>
  </si>
  <si>
    <t>Sum of FCFF(Cr)</t>
  </si>
  <si>
    <t>Sum of Present value of Cashflow(Cr)</t>
  </si>
  <si>
    <t>Sum of Value(Cr)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</si>
</sst>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9" fontId="0" fillId="0" borderId="0" xfId="0" applyNumberForma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0" fillId="2" borderId="1" xfId="0" applyFill="1" applyBorder="1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/>
    </xf>
    <xf numFmtId="0" fontId="0" fillId="2" borderId="2" xfId="0" applyFill="1" applyBorder="1"/>
    <xf numFmtId="165" fontId="0" fillId="3" borderId="0" xfId="0" applyNumberFormat="1" applyFill="1"/>
    <xf numFmtId="0" fontId="0" fillId="0" borderId="3" xfId="0" applyBorder="1"/>
    <xf numFmtId="164" fontId="0" fillId="2" borderId="0" xfId="0" applyNumberFormat="1" applyFill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4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 valuation.xlsx]Pivot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"Free Cash flow to Firm Over Time"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'Pivot Tables'!$A$4:$A$9</c:f>
              <c:strCach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strCache>
            </c:strRef>
          </c:cat>
          <c:val>
            <c:numRef>
              <c:f>'Pivot Tables'!$B$4:$B$9</c:f>
              <c:numCache>
                <c:formatCode>"₹"\ #,##0.00</c:formatCode>
                <c:ptCount val="6"/>
                <c:pt idx="0">
                  <c:v>-958.4</c:v>
                </c:pt>
                <c:pt idx="1">
                  <c:v>-807.19999999999993</c:v>
                </c:pt>
                <c:pt idx="2">
                  <c:v>-150</c:v>
                </c:pt>
                <c:pt idx="3">
                  <c:v>385.76</c:v>
                </c:pt>
                <c:pt idx="4">
                  <c:v>986.10239999999999</c:v>
                </c:pt>
                <c:pt idx="5">
                  <c:v>1547.1664000000001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5-43F2-9C29-DEC0E1489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335388479"/>
        <c:axId val="335388959"/>
      </c:lineChart>
      <c:catAx>
        <c:axId val="33538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88959"/>
        <c:crosses val="autoZero"/>
        <c:auto val="1"/>
        <c:lblAlgn val="ctr"/>
        <c:lblOffset val="100"/>
        <c:noMultiLvlLbl val="0"/>
      </c:catAx>
      <c:valAx>
        <c:axId val="335388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Free Cash flow of firm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8847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 valuation.xlsx]Pivot Tables!PivotTable2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 to Firm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Tables'!$A$4:$A$9</c:f>
              <c:strCach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strCache>
            </c:strRef>
          </c:cat>
          <c:val>
            <c:numRef>
              <c:f>'Pivot Tables'!$B$4:$B$9</c:f>
              <c:numCache>
                <c:formatCode>"₹"\ #,##0.00</c:formatCode>
                <c:ptCount val="6"/>
                <c:pt idx="0">
                  <c:v>-958.4</c:v>
                </c:pt>
                <c:pt idx="1">
                  <c:v>-807.19999999999993</c:v>
                </c:pt>
                <c:pt idx="2">
                  <c:v>-150</c:v>
                </c:pt>
                <c:pt idx="3">
                  <c:v>385.76</c:v>
                </c:pt>
                <c:pt idx="4">
                  <c:v>986.10239999999999</c:v>
                </c:pt>
                <c:pt idx="5">
                  <c:v>1547.1664000000001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D-4612-A927-1DB7CFCD9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335411999"/>
        <c:axId val="335419199"/>
      </c:barChart>
      <c:catAx>
        <c:axId val="3354119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19199"/>
        <c:crosses val="autoZero"/>
        <c:auto val="1"/>
        <c:lblAlgn val="ctr"/>
        <c:lblOffset val="100"/>
        <c:noMultiLvlLbl val="0"/>
      </c:catAx>
      <c:valAx>
        <c:axId val="3354191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1199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 valuation.xlsx]Pivot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"Discounted</a:t>
            </a:r>
            <a:r>
              <a:rPr lang="en-US" baseline="0"/>
              <a:t> FCFF by Year"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Tables'!$J$3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Tables'!$I$4:$I$9</c:f>
              <c:strCach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strCache>
            </c:strRef>
          </c:cat>
          <c:val>
            <c:numRef>
              <c:f>'Pivot Tables'!$J$4:$J$9</c:f>
              <c:numCache>
                <c:formatCode>General</c:formatCode>
                <c:ptCount val="6"/>
                <c:pt idx="0">
                  <c:v>-871.27272727272725</c:v>
                </c:pt>
                <c:pt idx="1">
                  <c:v>-667.10743801652882</c:v>
                </c:pt>
                <c:pt idx="2">
                  <c:v>-112.69722013523663</c:v>
                </c:pt>
                <c:pt idx="3">
                  <c:v>263.4792705416296</c:v>
                </c:pt>
                <c:pt idx="4">
                  <c:v>612.29200687980801</c:v>
                </c:pt>
                <c:pt idx="5">
                  <c:v>873.33509825515432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B-4E4C-8CC6-60D337D748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335414879"/>
        <c:axId val="335426879"/>
      </c:barChart>
      <c:catAx>
        <c:axId val="335414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6879"/>
        <c:crosses val="autoZero"/>
        <c:auto val="1"/>
        <c:lblAlgn val="ctr"/>
        <c:lblOffset val="100"/>
        <c:noMultiLvlLbl val="0"/>
      </c:catAx>
      <c:valAx>
        <c:axId val="3354268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1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 valuation.xlsx]Pivot Tables!PivotTable6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"DCF Valuation Breakdown"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664BACE-4AE1-4D93-AABA-4CFC1222779A}" type="VALUE">
                  <a:rPr lang="en-US"/>
                  <a:pPr>
                    <a:defRPr/>
                  </a:pPr>
                  <a:t>[VALUE]</a:t>
                </a:fld>
                <a:r>
                  <a:rPr lang="en-US"/>
                  <a:t>
</a:t>
                </a:r>
                <a:fld id="{3E18F5D1-499E-4B51-BCBF-885D7C30C8CF}" type="PERCENTAGE">
                  <a:rPr lang="en-US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74A6E8B9-22F0-4977-89D8-8022A6FE3A92}" type="VALUE">
                  <a:rPr lang="en-US"/>
                  <a:pPr>
                    <a:defRPr/>
                  </a:pPr>
                  <a:t>[VALUE]</a:t>
                </a:fld>
                <a:r>
                  <a:rPr lang="en-US"/>
                  <a:t>
</a:t>
                </a:r>
                <a:fld id="{B99D8099-63C6-4FA9-95E7-C1D610D6D7EB}" type="PERCENTAGE">
                  <a:rPr lang="en-US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Tables'!$U$4</c:f>
              <c:strCache>
                <c:ptCount val="1"/>
                <c:pt idx="0">
                  <c:v>Total</c:v>
                </c:pt>
              </c:strCache>
            </c:strRef>
          </c:tx>
          <c:explosion val="2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736-4FE6-9D2A-CE07D16179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736-4FE6-9D2A-CE07D16179B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4A6E8B9-22F0-4977-89D8-8022A6FE3A92}" type="VALUE">
                      <a:rPr lang="en-US"/>
                      <a:pPr/>
                      <a:t>[VALUE]</a:t>
                    </a:fld>
                    <a:r>
                      <a:rPr lang="en-US"/>
                      <a:t>
</a:t>
                    </a:r>
                    <a:fld id="{B99D8099-63C6-4FA9-95E7-C1D610D6D7EB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736-4FE6-9D2A-CE07D16179B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664BACE-4AE1-4D93-AABA-4CFC1222779A}" type="VALUE">
                      <a:rPr lang="en-US"/>
                      <a:pPr/>
                      <a:t>[VALUE]</a:t>
                    </a:fld>
                    <a:r>
                      <a:rPr lang="en-US"/>
                      <a:t>
</a:t>
                    </a:r>
                    <a:fld id="{3E18F5D1-499E-4B51-BCBF-885D7C30C8CF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736-4FE6-9D2A-CE07D16179B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'Pivot Tables'!$T$5:$T$6</c:f>
              <c:strCache>
                <c:ptCount val="2"/>
                <c:pt idx="0">
                  <c:v>PV of FCFF (2023-2028)</c:v>
                </c:pt>
                <c:pt idx="1">
                  <c:v>Pv of Terminal Value</c:v>
                </c:pt>
              </c:strCache>
            </c:strRef>
          </c:cat>
          <c:val>
            <c:numRef>
              <c:f>'Pivot Tables'!$U$5:$U$6</c:f>
              <c:numCache>
                <c:formatCode>"₹"\ #,##0.00</c:formatCode>
                <c:ptCount val="2"/>
                <c:pt idx="0">
                  <c:v>98</c:v>
                </c:pt>
                <c:pt idx="1">
                  <c:v>18312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6-4FE6-9D2A-CE07D16179B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47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 valuation.xlsx]Pivot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"Free Cash flow to Firm Over Time"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'Pivot Tables'!$A$4:$A$9</c:f>
              <c:strCach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strCache>
            </c:strRef>
          </c:cat>
          <c:val>
            <c:numRef>
              <c:f>'Pivot Tables'!$B$4:$B$9</c:f>
              <c:numCache>
                <c:formatCode>"₹"\ #,##0.00</c:formatCode>
                <c:ptCount val="6"/>
                <c:pt idx="0">
                  <c:v>-958.4</c:v>
                </c:pt>
                <c:pt idx="1">
                  <c:v>-807.19999999999993</c:v>
                </c:pt>
                <c:pt idx="2">
                  <c:v>-150</c:v>
                </c:pt>
                <c:pt idx="3">
                  <c:v>385.76</c:v>
                </c:pt>
                <c:pt idx="4">
                  <c:v>986.10239999999999</c:v>
                </c:pt>
                <c:pt idx="5">
                  <c:v>1547.1664000000001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C-4B99-8D73-88FBBC0E3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335388479"/>
        <c:axId val="335388959"/>
      </c:lineChart>
      <c:catAx>
        <c:axId val="33538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88959"/>
        <c:crosses val="autoZero"/>
        <c:auto val="1"/>
        <c:lblAlgn val="ctr"/>
        <c:lblOffset val="100"/>
        <c:noMultiLvlLbl val="0"/>
      </c:catAx>
      <c:valAx>
        <c:axId val="335388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Free Cash flow of firm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8847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 valuation.xlsx]Pivot 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"Discounted</a:t>
            </a:r>
            <a:r>
              <a:rPr lang="en-US" baseline="0"/>
              <a:t> FCFF by Year"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numFmt formatCode="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numFmt formatCode="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numFmt formatCode="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Tables'!$J$3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Tables'!$I$4:$I$9</c:f>
              <c:strCache>
                <c:ptCount val="6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</c:strCache>
            </c:strRef>
          </c:cat>
          <c:val>
            <c:numRef>
              <c:f>'Pivot Tables'!$J$4:$J$9</c:f>
              <c:numCache>
                <c:formatCode>General</c:formatCode>
                <c:ptCount val="6"/>
                <c:pt idx="0">
                  <c:v>-871.27272727272725</c:v>
                </c:pt>
                <c:pt idx="1">
                  <c:v>-667.10743801652882</c:v>
                </c:pt>
                <c:pt idx="2">
                  <c:v>-112.69722013523663</c:v>
                </c:pt>
                <c:pt idx="3">
                  <c:v>263.4792705416296</c:v>
                </c:pt>
                <c:pt idx="4">
                  <c:v>612.29200687980801</c:v>
                </c:pt>
                <c:pt idx="5">
                  <c:v>873.33509825515432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E-4CE0-B074-7D7D832964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335414879"/>
        <c:axId val="335426879"/>
      </c:barChart>
      <c:catAx>
        <c:axId val="335414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26879"/>
        <c:crosses val="autoZero"/>
        <c:auto val="1"/>
        <c:lblAlgn val="ctr"/>
        <c:lblOffset val="100"/>
        <c:noMultiLvlLbl val="0"/>
      </c:catAx>
      <c:valAx>
        <c:axId val="3354268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1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 valuation.xlsx]Pivot Tables!PivotTable6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"DCF Valuation Breakdown"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664BACE-4AE1-4D93-AABA-4CFC1222779A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/>
                  <a:t>
</a:t>
                </a:r>
                <a:fld id="{3E18F5D1-499E-4B51-BCBF-885D7C30C8CF}" type="PERCENTAG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74A6E8B9-22F0-4977-89D8-8022A6FE3A92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/>
                  <a:t>
</a:t>
                </a:r>
                <a:fld id="{B99D8099-63C6-4FA9-95E7-C1D610D6D7EB}" type="PERCENTAG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74A6E8B9-22F0-4977-89D8-8022A6FE3A92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/>
                  <a:t>
</a:t>
                </a:r>
                <a:fld id="{B99D8099-63C6-4FA9-95E7-C1D610D6D7EB}" type="PERCENTAG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664BACE-4AE1-4D93-AABA-4CFC1222779A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/>
                  <a:t>
</a:t>
                </a:r>
                <a:fld id="{3E18F5D1-499E-4B51-BCBF-885D7C30C8CF}" type="PERCENTAG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[PERCENTAGE]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74A6E8B9-22F0-4977-89D8-8022A6FE3A92}" type="VALUE">
                  <a:rPr lang="en-US"/>
                  <a:pPr>
                    <a:defRPr/>
                  </a:pPr>
                  <a:t>[VALUE]</a:t>
                </a:fld>
                <a:r>
                  <a:rPr lang="en-US"/>
                  <a:t>
</a:t>
                </a:r>
                <a:fld id="{B99D8099-63C6-4FA9-95E7-C1D610D6D7EB}" type="PERCENTAGE">
                  <a:rPr lang="en-US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1664BACE-4AE1-4D93-AABA-4CFC1222779A}" type="VALUE">
                  <a:rPr lang="en-US"/>
                  <a:pPr>
                    <a:defRPr/>
                  </a:pPr>
                  <a:t>[VALUE]</a:t>
                </a:fld>
                <a:r>
                  <a:rPr lang="en-US"/>
                  <a:t>
</a:t>
                </a:r>
                <a:fld id="{3E18F5D1-499E-4B51-BCBF-885D7C30C8CF}" type="PERCENTAGE">
                  <a:rPr lang="en-US"/>
                  <a:pPr>
                    <a:defRPr/>
                  </a:pPr>
                  <a:t>[PERCENTAGE]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Tables'!$U$4</c:f>
              <c:strCache>
                <c:ptCount val="1"/>
                <c:pt idx="0">
                  <c:v>Total</c:v>
                </c:pt>
              </c:strCache>
            </c:strRef>
          </c:tx>
          <c:explosion val="2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4A-4248-A632-78E8A8CF42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4A-4248-A632-78E8A8CF425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4A6E8B9-22F0-4977-89D8-8022A6FE3A92}" type="VALUE">
                      <a:rPr lang="en-US"/>
                      <a:pPr/>
                      <a:t>[VALUE]</a:t>
                    </a:fld>
                    <a:r>
                      <a:rPr lang="en-US"/>
                      <a:t>
</a:t>
                    </a:r>
                    <a:fld id="{B99D8099-63C6-4FA9-95E7-C1D610D6D7EB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84A-4248-A632-78E8A8CF425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664BACE-4AE1-4D93-AABA-4CFC1222779A}" type="VALUE">
                      <a:rPr lang="en-US"/>
                      <a:pPr/>
                      <a:t>[VALUE]</a:t>
                    </a:fld>
                    <a:r>
                      <a:rPr lang="en-US"/>
                      <a:t>
</a:t>
                    </a:r>
                    <a:fld id="{3E18F5D1-499E-4B51-BCBF-885D7C30C8CF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84A-4248-A632-78E8A8CF425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'Pivot Tables'!$T$5:$T$6</c:f>
              <c:strCache>
                <c:ptCount val="2"/>
                <c:pt idx="0">
                  <c:v>PV of FCFF (2023-2028)</c:v>
                </c:pt>
                <c:pt idx="1">
                  <c:v>Pv of Terminal Value</c:v>
                </c:pt>
              </c:strCache>
            </c:strRef>
          </c:cat>
          <c:val>
            <c:numRef>
              <c:f>'Pivot Tables'!$U$5:$U$6</c:f>
              <c:numCache>
                <c:formatCode>"₹"\ #,##0.00</c:formatCode>
                <c:ptCount val="2"/>
                <c:pt idx="0">
                  <c:v>98</c:v>
                </c:pt>
                <c:pt idx="1">
                  <c:v>18312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4A-4248-A632-78E8A8CF42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47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9</xdr:row>
      <xdr:rowOff>99060</xdr:rowOff>
    </xdr:from>
    <xdr:to>
      <xdr:col>6</xdr:col>
      <xdr:colOff>335280</xdr:colOff>
      <xdr:row>24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5EFB25-199F-4475-CFEA-5CA3CB6F0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60960</xdr:colOff>
      <xdr:row>25</xdr:row>
      <xdr:rowOff>15240</xdr:rowOff>
    </xdr:from>
    <xdr:to>
      <xdr:col>6</xdr:col>
      <xdr:colOff>342900</xdr:colOff>
      <xdr:row>40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CB5984-FC56-C39B-9085-9C9BC9658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15240</xdr:colOff>
      <xdr:row>10</xdr:row>
      <xdr:rowOff>83820</xdr:rowOff>
    </xdr:from>
    <xdr:to>
      <xdr:col>12</xdr:col>
      <xdr:colOff>259080</xdr:colOff>
      <xdr:row>25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4BB709-49BB-B91D-F342-BA41A0BD2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457200</xdr:colOff>
      <xdr:row>8</xdr:row>
      <xdr:rowOff>53340</xdr:rowOff>
    </xdr:from>
    <xdr:to>
      <xdr:col>24</xdr:col>
      <xdr:colOff>160020</xdr:colOff>
      <xdr:row>23</xdr:row>
      <xdr:rowOff>46140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30635-2C06-3162-AC9B-C501BE6A1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0</xdr:row>
      <xdr:rowOff>83820</xdr:rowOff>
    </xdr:from>
    <xdr:to>
      <xdr:col>7</xdr:col>
      <xdr:colOff>426720</xdr:colOff>
      <xdr:row>15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FC1561-110D-4DF4-A951-DFAEC9896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0</xdr:row>
      <xdr:rowOff>91440</xdr:rowOff>
    </xdr:from>
    <xdr:to>
      <xdr:col>15</xdr:col>
      <xdr:colOff>152400</xdr:colOff>
      <xdr:row>15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0C8FA0-0753-42CF-9E67-FB35EA29C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106680</xdr:colOff>
      <xdr:row>16</xdr:row>
      <xdr:rowOff>45720</xdr:rowOff>
    </xdr:from>
    <xdr:to>
      <xdr:col>7</xdr:col>
      <xdr:colOff>411480</xdr:colOff>
      <xdr:row>31</xdr:row>
      <xdr:rowOff>38520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7E6A84-1F57-4E20-AE69-44CFA406B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n 99862" refreshedDate="45846.753164236114" createdVersion="8" refreshedVersion="8" minRefreshableVersion="3" recordCount="6" xr:uid="{90E388B7-474C-4385-9176-BB12F9F57B77}">
  <cacheSource type="worksheet">
    <worksheetSource ref="Q6:X12" sheet="Calculations"/>
  </cacheSource>
  <cacheFields count="8">
    <cacheField name="Year" numFmtId="0">
      <sharedItems containsSemiMixedTypes="0" containsString="0" containsNumber="1" containsInteger="1" minValue="2023" maxValue="2028" count="6">
        <n v="2023"/>
        <n v="2024"/>
        <n v="2025"/>
        <n v="2026"/>
        <n v="2027"/>
        <n v="2028"/>
      </sharedItems>
    </cacheField>
    <cacheField name="Revenue" numFmtId="0">
      <sharedItems containsSemiMixedTypes="0" containsString="0" containsNumber="1" minValue="2024" maxValue="17681.664000000001"/>
    </cacheField>
    <cacheField name="EBITDA" numFmtId="164">
      <sharedItems containsSemiMixedTypes="0" containsString="0" containsNumber="1" minValue="-708.4" maxValue="1768.1664000000001"/>
    </cacheField>
    <cacheField name="TAX" numFmtId="0">
      <sharedItems containsSemiMixedTypes="0" containsString="0" containsNumber="1" containsInteger="1" minValue="0" maxValue="221"/>
    </cacheField>
    <cacheField name="DEP &amp; AMOR" numFmtId="0">
      <sharedItems containsSemiMixedTypes="0" containsString="0" containsNumber="1" containsInteger="1" minValue="101" maxValue="884"/>
    </cacheField>
    <cacheField name="CapEx" numFmtId="0">
      <sharedItems containsSemiMixedTypes="0" containsString="0" containsNumber="1" containsInteger="1" minValue="0" maxValue="250"/>
    </cacheField>
    <cacheField name="Chg.WC" numFmtId="0">
      <sharedItems containsSemiMixedTypes="0" containsString="0" containsNumber="1" containsInteger="1" minValue="101" maxValue="884"/>
    </cacheField>
    <cacheField name="FCFF(Cr)" numFmtId="164">
      <sharedItems containsSemiMixedTypes="0" containsString="0" containsNumber="1" minValue="-958.4" maxValue="1547.1664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n 99862" refreshedDate="45846.760462152779" createdVersion="8" refreshedVersion="8" minRefreshableVersion="3" recordCount="6" xr:uid="{DAA87AC7-A1D0-43DB-A5A5-1A9705E6247B}">
  <cacheSource type="worksheet">
    <worksheetSource ref="Z6:AC12" sheet="Calculations"/>
  </cacheSource>
  <cacheFields count="4">
    <cacheField name="Year" numFmtId="0">
      <sharedItems containsSemiMixedTypes="0" containsString="0" containsNumber="1" containsInteger="1" minValue="2023" maxValue="2028" count="6">
        <n v="2023"/>
        <n v="2024"/>
        <n v="2025"/>
        <n v="2026"/>
        <n v="2027"/>
        <n v="2028"/>
      </sharedItems>
    </cacheField>
    <cacheField name="FCFF" numFmtId="0">
      <sharedItems containsSemiMixedTypes="0" containsString="0" containsNumber="1" minValue="-958.4" maxValue="1547.1664000000001"/>
    </cacheField>
    <cacheField name="Dicount Factor/WACC" numFmtId="0">
      <sharedItems containsSemiMixedTypes="0" containsString="0" containsNumber="1" minValue="0.56447393005377722" maxValue="0.90909090909090906"/>
    </cacheField>
    <cacheField name="Present value of Cashflow(Cr)" numFmtId="0">
      <sharedItems containsSemiMixedTypes="0" containsString="0" containsNumber="1" minValue="-871.27272727272725" maxValue="873.335098255154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ran 99862" refreshedDate="45846.766899884256" createdVersion="8" refreshedVersion="8" minRefreshableVersion="3" recordCount="2" xr:uid="{3B2D27A0-82BD-441F-8F73-67D65A6661B2}">
  <cacheSource type="worksheet">
    <worksheetSource ref="AI5:AJ7" sheet="Calculations"/>
  </cacheSource>
  <cacheFields count="2">
    <cacheField name="Component" numFmtId="0">
      <sharedItems count="2">
        <s v="PV of FCFF (2023-2028)"/>
        <s v="Pv of Terminal Value"/>
      </sharedItems>
    </cacheField>
    <cacheField name="Value(Cr)" numFmtId="164">
      <sharedItems containsSemiMixedTypes="0" containsString="0" containsNumber="1" containsInteger="1" minValue="98" maxValue="183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2024"/>
    <n v="-708.4"/>
    <n v="0"/>
    <n v="101"/>
    <n v="250"/>
    <n v="101"/>
    <n v="-958.4"/>
  </r>
  <r>
    <x v="1"/>
    <n v="4048"/>
    <n v="-607.19999999999993"/>
    <n v="0"/>
    <n v="202"/>
    <n v="200"/>
    <n v="202"/>
    <n v="-807.19999999999993"/>
  </r>
  <r>
    <x v="2"/>
    <n v="6476.8"/>
    <n v="0"/>
    <n v="0"/>
    <n v="324"/>
    <n v="150"/>
    <n v="324"/>
    <n v="-150"/>
  </r>
  <r>
    <x v="3"/>
    <n v="9715.2000000000007"/>
    <n v="485.76000000000005"/>
    <n v="0"/>
    <n v="486"/>
    <n v="100"/>
    <n v="486"/>
    <n v="385.76"/>
  </r>
  <r>
    <x v="4"/>
    <n v="13601.28"/>
    <n v="1088.1024"/>
    <n v="102"/>
    <n v="680"/>
    <n v="0"/>
    <n v="680"/>
    <n v="986.10239999999999"/>
  </r>
  <r>
    <x v="5"/>
    <n v="17681.664000000001"/>
    <n v="1768.1664000000001"/>
    <n v="221"/>
    <n v="884"/>
    <n v="0"/>
    <n v="884"/>
    <n v="1547.16640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-958.4"/>
    <n v="0.90909090909090906"/>
    <n v="-871.27272727272725"/>
  </r>
  <r>
    <x v="1"/>
    <n v="-807.19999999999993"/>
    <n v="0.82644628099173545"/>
    <n v="-667.10743801652882"/>
  </r>
  <r>
    <x v="2"/>
    <n v="-150"/>
    <n v="0.75131480090157754"/>
    <n v="-112.69722013523663"/>
  </r>
  <r>
    <x v="3"/>
    <n v="385.76"/>
    <n v="0.68301345536507052"/>
    <n v="263.4792705416296"/>
  </r>
  <r>
    <x v="4"/>
    <n v="986.10239999999999"/>
    <n v="0.62092132305915493"/>
    <n v="612.29200687980801"/>
  </r>
  <r>
    <x v="5"/>
    <n v="1547.1664000000001"/>
    <n v="0.56447393005377722"/>
    <n v="873.3350982551543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98"/>
  </r>
  <r>
    <x v="1"/>
    <n v="183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2B4B5-0BD0-4000-884A-8B34A1BF57F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I3:J9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Present value of Cashflow(Cr)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A8F6C-1830-4610-B7B3-51CD26420AE2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A3:B9" firstHeaderRow="1" firstDataRow="1" firstDataCol="1"/>
  <pivotFields count="8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numFmtId="164" showAll="0"/>
    <pivotField showAll="0"/>
    <pivotField showAll="0"/>
    <pivotField showAll="0"/>
    <pivotField showAll="0"/>
    <pivotField dataField="1" numFmtId="164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FCFF(Cr)" fld="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008B5-8DD0-4637-9DA7-DFDFEFC22F01}" name="PivotTable6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T4:U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numFmtId="164" showAl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Value(Cr)" fld="1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53186-C964-4340-B1DE-2E702EE00D4F}" name="Table1" displayName="Table1" ref="AI5:AJ8" totalsRowShown="0" headerRowDxfId="2" headerRowBorderDxfId="1" tableBorderDxfId="0">
  <autoFilter ref="AI5:AJ8" xr:uid="{99553186-C964-4340-B1DE-2E702EE00D4F}"/>
  <tableColumns count="2">
    <tableColumn id="1" xr3:uid="{CE81BD96-C3E5-41B0-8FFD-A2BF1456B16E}" name="Component"/>
    <tableColumn id="2" xr3:uid="{828F8CE6-BDB6-406D-AB63-6E1A1E26D144}" name="Value(Cr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6FFE-E1F2-4CD0-A164-94A41699B7A3}">
  <dimension ref="A2:AL20"/>
  <sheetViews>
    <sheetView tabSelected="1" topLeftCell="A3" workbookViewId="0">
      <selection activeCell="AJ6" sqref="AJ6"/>
    </sheetView>
  </sheetViews>
  <sheetFormatPr defaultRowHeight="14.4" x14ac:dyDescent="0.3"/>
  <cols>
    <col min="1" max="1" width="18.6640625" bestFit="1" customWidth="1"/>
    <col min="2" max="2" width="21.88671875" bestFit="1" customWidth="1"/>
    <col min="3" max="4" width="6.6640625" bestFit="1" customWidth="1"/>
    <col min="5" max="5" width="5" bestFit="1" customWidth="1"/>
    <col min="6" max="6" width="27.33203125" bestFit="1" customWidth="1"/>
    <col min="7" max="7" width="10.88671875" bestFit="1" customWidth="1"/>
    <col min="8" max="8" width="9" bestFit="1" customWidth="1"/>
    <col min="9" max="9" width="5" bestFit="1" customWidth="1"/>
    <col min="10" max="10" width="29" bestFit="1" customWidth="1"/>
    <col min="11" max="11" width="9.88671875" bestFit="1" customWidth="1"/>
    <col min="13" max="13" width="5" bestFit="1" customWidth="1"/>
    <col min="14" max="14" width="19.88671875" bestFit="1" customWidth="1"/>
    <col min="17" max="17" width="40.44140625" bestFit="1" customWidth="1"/>
    <col min="18" max="18" width="10" bestFit="1" customWidth="1"/>
    <col min="19" max="19" width="9.44140625" bestFit="1" customWidth="1"/>
    <col min="20" max="20" width="5.5546875" customWidth="1"/>
    <col min="21" max="21" width="11.6640625" bestFit="1" customWidth="1"/>
    <col min="22" max="22" width="6" bestFit="1" customWidth="1"/>
    <col min="23" max="23" width="7.44140625" bestFit="1" customWidth="1"/>
    <col min="24" max="24" width="9.44140625" bestFit="1" customWidth="1"/>
    <col min="25" max="25" width="7.33203125" customWidth="1"/>
    <col min="26" max="26" width="5" bestFit="1" customWidth="1"/>
    <col min="27" max="27" width="10" bestFit="1" customWidth="1"/>
    <col min="28" max="28" width="19.109375" bestFit="1" customWidth="1"/>
    <col min="29" max="29" width="25.6640625" customWidth="1"/>
    <col min="31" max="31" width="18.21875" customWidth="1"/>
    <col min="32" max="32" width="45.21875" customWidth="1"/>
    <col min="35" max="35" width="19.88671875" customWidth="1"/>
    <col min="36" max="36" width="26" customWidth="1"/>
  </cols>
  <sheetData>
    <row r="2" spans="1:38" x14ac:dyDescent="0.3">
      <c r="Z2" s="2">
        <v>0.1</v>
      </c>
    </row>
    <row r="3" spans="1:38" x14ac:dyDescent="0.3">
      <c r="Q3" s="8" t="s">
        <v>55</v>
      </c>
      <c r="AA3" s="20" t="s">
        <v>39</v>
      </c>
      <c r="AB3" s="20"/>
      <c r="AC3" s="20"/>
      <c r="AF3" s="8" t="s">
        <v>42</v>
      </c>
      <c r="AG3" s="8"/>
      <c r="AH3" s="8"/>
      <c r="AI3" s="8" t="s">
        <v>47</v>
      </c>
      <c r="AJ3" s="8"/>
      <c r="AK3" s="8"/>
      <c r="AL3" s="8"/>
    </row>
    <row r="4" spans="1:38" ht="15.6" x14ac:dyDescent="0.3">
      <c r="C4" s="1"/>
      <c r="D4" s="1"/>
      <c r="F4" s="8" t="s">
        <v>0</v>
      </c>
      <c r="J4" s="11" t="s">
        <v>4</v>
      </c>
      <c r="N4" s="8" t="s">
        <v>9</v>
      </c>
      <c r="O4" s="8"/>
      <c r="AF4" t="s">
        <v>54</v>
      </c>
    </row>
    <row r="5" spans="1:38" x14ac:dyDescent="0.3">
      <c r="A5" s="16" t="s">
        <v>12</v>
      </c>
      <c r="B5" s="16" t="s">
        <v>13</v>
      </c>
      <c r="AF5" s="10" t="s">
        <v>44</v>
      </c>
      <c r="AI5" s="19" t="s">
        <v>48</v>
      </c>
      <c r="AJ5" s="19" t="s">
        <v>49</v>
      </c>
    </row>
    <row r="6" spans="1:38" x14ac:dyDescent="0.3">
      <c r="A6" s="4" t="s">
        <v>14</v>
      </c>
      <c r="B6" s="4" t="s">
        <v>15</v>
      </c>
      <c r="E6" s="7" t="s">
        <v>1</v>
      </c>
      <c r="F6" s="7" t="s">
        <v>2</v>
      </c>
      <c r="G6" s="7" t="s">
        <v>3</v>
      </c>
      <c r="I6" s="7" t="s">
        <v>1</v>
      </c>
      <c r="J6" s="7" t="s">
        <v>5</v>
      </c>
      <c r="K6" s="7" t="s">
        <v>6</v>
      </c>
      <c r="M6" s="7" t="s">
        <v>1</v>
      </c>
      <c r="N6" s="7" t="s">
        <v>10</v>
      </c>
      <c r="Q6" s="7" t="s">
        <v>1</v>
      </c>
      <c r="R6" s="7" t="s">
        <v>27</v>
      </c>
      <c r="S6" s="7" t="s">
        <v>28</v>
      </c>
      <c r="T6" s="7" t="s">
        <v>29</v>
      </c>
      <c r="U6" s="7" t="s">
        <v>32</v>
      </c>
      <c r="V6" s="7" t="s">
        <v>18</v>
      </c>
      <c r="W6" s="7" t="s">
        <v>30</v>
      </c>
      <c r="X6" s="7" t="s">
        <v>56</v>
      </c>
      <c r="Z6" s="12" t="s">
        <v>1</v>
      </c>
      <c r="AA6" s="12" t="s">
        <v>31</v>
      </c>
      <c r="AB6" s="12" t="s">
        <v>40</v>
      </c>
      <c r="AC6" s="12" t="s">
        <v>57</v>
      </c>
      <c r="AE6" s="9" t="s">
        <v>43</v>
      </c>
      <c r="AF6" s="15">
        <f>X12*(1+5%)/(10%-5%)</f>
        <v>32490.4944</v>
      </c>
      <c r="AI6" s="4" t="s">
        <v>50</v>
      </c>
      <c r="AJ6" s="5">
        <v>98</v>
      </c>
    </row>
    <row r="7" spans="1:38" x14ac:dyDescent="0.3">
      <c r="A7" s="4" t="s">
        <v>17</v>
      </c>
      <c r="B7" s="4" t="s">
        <v>16</v>
      </c>
      <c r="E7" s="4">
        <v>2023</v>
      </c>
      <c r="F7" s="4"/>
      <c r="G7" s="5">
        <v>2024</v>
      </c>
      <c r="I7" s="4">
        <v>2023</v>
      </c>
      <c r="J7" s="6">
        <v>-0.35</v>
      </c>
      <c r="K7">
        <v>-708.4</v>
      </c>
      <c r="M7" s="4">
        <v>2023</v>
      </c>
      <c r="N7" s="4">
        <v>250</v>
      </c>
      <c r="Q7" s="4">
        <v>2023</v>
      </c>
      <c r="R7" s="4">
        <v>2024</v>
      </c>
      <c r="S7" s="5">
        <f t="shared" ref="S7:S12" si="0">G7*J7</f>
        <v>-708.4</v>
      </c>
      <c r="T7" s="4">
        <v>0</v>
      </c>
      <c r="U7" s="4">
        <v>101</v>
      </c>
      <c r="V7" s="4">
        <v>250</v>
      </c>
      <c r="W7" s="4">
        <v>101</v>
      </c>
      <c r="X7" s="5">
        <f>S7-T7+U7-V7-W7</f>
        <v>-958.4</v>
      </c>
      <c r="Y7" s="14">
        <v>1</v>
      </c>
      <c r="Z7">
        <v>2023</v>
      </c>
      <c r="AA7">
        <v>-958.4</v>
      </c>
      <c r="AB7">
        <f>1/1.1^Y7</f>
        <v>0.90909090909090906</v>
      </c>
      <c r="AC7">
        <f>AA7*AB7</f>
        <v>-871.27272727272725</v>
      </c>
      <c r="AI7" s="4" t="s">
        <v>51</v>
      </c>
      <c r="AJ7" s="5">
        <v>18312</v>
      </c>
    </row>
    <row r="8" spans="1:38" x14ac:dyDescent="0.3">
      <c r="A8" s="4" t="s">
        <v>5</v>
      </c>
      <c r="B8" s="4" t="s">
        <v>23</v>
      </c>
      <c r="E8" s="4">
        <v>2024</v>
      </c>
      <c r="F8" s="6">
        <v>1</v>
      </c>
      <c r="G8" s="5">
        <f>G7*(1+F8)</f>
        <v>4048</v>
      </c>
      <c r="I8" s="4">
        <v>2024</v>
      </c>
      <c r="J8" s="6">
        <v>-0.15</v>
      </c>
      <c r="K8">
        <v>-607.19999999999993</v>
      </c>
      <c r="M8" s="4">
        <v>2024</v>
      </c>
      <c r="N8" s="4">
        <v>200</v>
      </c>
      <c r="Q8" s="4">
        <v>2024</v>
      </c>
      <c r="R8" s="4">
        <v>4048</v>
      </c>
      <c r="S8" s="5">
        <f t="shared" si="0"/>
        <v>-607.19999999999993</v>
      </c>
      <c r="T8" s="4">
        <v>0</v>
      </c>
      <c r="U8" s="4">
        <v>202</v>
      </c>
      <c r="V8" s="4">
        <v>200</v>
      </c>
      <c r="W8" s="4">
        <v>202</v>
      </c>
      <c r="X8" s="5">
        <f t="shared" ref="X8:X12" si="1">S8-T8+U8-V8-W8</f>
        <v>-807.19999999999993</v>
      </c>
      <c r="Y8" s="14">
        <v>2</v>
      </c>
      <c r="Z8">
        <v>2024</v>
      </c>
      <c r="AA8">
        <v>-807.19999999999993</v>
      </c>
      <c r="AB8">
        <f t="shared" ref="AB8:AB12" si="2">1/1.1^Y8</f>
        <v>0.82644628099173545</v>
      </c>
      <c r="AC8">
        <f t="shared" ref="AC8:AC12" si="3">AA8*AB8</f>
        <v>-667.10743801652882</v>
      </c>
      <c r="AI8" t="s">
        <v>52</v>
      </c>
      <c r="AJ8" s="3" t="s">
        <v>53</v>
      </c>
    </row>
    <row r="9" spans="1:38" x14ac:dyDescent="0.3">
      <c r="A9" s="4" t="s">
        <v>18</v>
      </c>
      <c r="B9" s="4" t="s">
        <v>24</v>
      </c>
      <c r="E9" s="4">
        <v>2025</v>
      </c>
      <c r="F9" s="6">
        <v>0.6</v>
      </c>
      <c r="G9" s="5">
        <f t="shared" ref="G9:G12" si="4">G8*(1+F9)</f>
        <v>6476.8</v>
      </c>
      <c r="I9" s="4">
        <v>2025</v>
      </c>
      <c r="J9" s="6">
        <v>0</v>
      </c>
      <c r="K9">
        <v>0</v>
      </c>
      <c r="M9" s="4">
        <v>2025</v>
      </c>
      <c r="N9" s="4">
        <v>150</v>
      </c>
      <c r="Q9" s="4">
        <v>2025</v>
      </c>
      <c r="R9" s="4">
        <v>6476.8</v>
      </c>
      <c r="S9" s="5">
        <f t="shared" si="0"/>
        <v>0</v>
      </c>
      <c r="T9" s="4">
        <v>0</v>
      </c>
      <c r="U9" s="4">
        <v>324</v>
      </c>
      <c r="V9" s="4">
        <v>150</v>
      </c>
      <c r="W9" s="4">
        <v>324</v>
      </c>
      <c r="X9" s="5">
        <f t="shared" si="1"/>
        <v>-150</v>
      </c>
      <c r="Y9" s="14">
        <v>3</v>
      </c>
      <c r="Z9">
        <v>2025</v>
      </c>
      <c r="AA9">
        <v>-150</v>
      </c>
      <c r="AB9">
        <f t="shared" si="2"/>
        <v>0.75131480090157754</v>
      </c>
      <c r="AC9">
        <f t="shared" si="3"/>
        <v>-112.69722013523663</v>
      </c>
    </row>
    <row r="10" spans="1:38" x14ac:dyDescent="0.3">
      <c r="A10" s="4" t="s">
        <v>19</v>
      </c>
      <c r="B10" s="4" t="s">
        <v>25</v>
      </c>
      <c r="E10" s="4">
        <v>2026</v>
      </c>
      <c r="F10" s="6">
        <v>0.5</v>
      </c>
      <c r="G10" s="5">
        <f t="shared" si="4"/>
        <v>9715.2000000000007</v>
      </c>
      <c r="I10" s="4">
        <v>2026</v>
      </c>
      <c r="J10" s="6">
        <v>0.05</v>
      </c>
      <c r="K10">
        <v>485.76000000000005</v>
      </c>
      <c r="M10" s="4">
        <v>2026</v>
      </c>
      <c r="N10" s="4">
        <v>100</v>
      </c>
      <c r="Q10" s="4">
        <v>2026</v>
      </c>
      <c r="R10" s="4">
        <v>9715.2000000000007</v>
      </c>
      <c r="S10" s="5">
        <f t="shared" si="0"/>
        <v>485.76000000000005</v>
      </c>
      <c r="T10" s="4">
        <v>0</v>
      </c>
      <c r="U10" s="4">
        <v>486</v>
      </c>
      <c r="V10" s="4">
        <v>100</v>
      </c>
      <c r="W10" s="4">
        <v>486</v>
      </c>
      <c r="X10" s="5">
        <f t="shared" si="1"/>
        <v>385.76</v>
      </c>
      <c r="Y10" s="14">
        <v>4</v>
      </c>
      <c r="Z10">
        <v>2026</v>
      </c>
      <c r="AA10">
        <v>385.76</v>
      </c>
      <c r="AB10">
        <f t="shared" si="2"/>
        <v>0.68301345536507052</v>
      </c>
      <c r="AC10">
        <f t="shared" si="3"/>
        <v>263.4792705416296</v>
      </c>
      <c r="AF10" s="10" t="s">
        <v>45</v>
      </c>
    </row>
    <row r="11" spans="1:38" x14ac:dyDescent="0.3">
      <c r="A11" s="4" t="s">
        <v>20</v>
      </c>
      <c r="B11" s="4" t="s">
        <v>26</v>
      </c>
      <c r="E11" s="4">
        <v>2027</v>
      </c>
      <c r="F11" s="6">
        <v>0.4</v>
      </c>
      <c r="G11" s="5">
        <f t="shared" si="4"/>
        <v>13601.28</v>
      </c>
      <c r="I11" s="4">
        <v>2027</v>
      </c>
      <c r="J11" s="6">
        <v>0.08</v>
      </c>
      <c r="K11">
        <v>1088.1024</v>
      </c>
      <c r="M11" s="4">
        <v>2027</v>
      </c>
      <c r="N11" s="4">
        <v>0</v>
      </c>
      <c r="Q11" s="4">
        <v>2027</v>
      </c>
      <c r="R11" s="4">
        <v>13601.28</v>
      </c>
      <c r="S11" s="5">
        <f t="shared" si="0"/>
        <v>1088.1024</v>
      </c>
      <c r="T11" s="4">
        <v>102</v>
      </c>
      <c r="U11" s="4">
        <v>680</v>
      </c>
      <c r="V11" s="4">
        <v>0</v>
      </c>
      <c r="W11" s="4">
        <v>680</v>
      </c>
      <c r="X11" s="5">
        <f t="shared" si="1"/>
        <v>986.10239999999999</v>
      </c>
      <c r="Y11" s="14">
        <v>5</v>
      </c>
      <c r="Z11">
        <v>2027</v>
      </c>
      <c r="AA11">
        <v>986.10239999999999</v>
      </c>
      <c r="AB11">
        <f t="shared" si="2"/>
        <v>0.62092132305915493</v>
      </c>
      <c r="AC11">
        <f t="shared" si="3"/>
        <v>612.29200687980801</v>
      </c>
    </row>
    <row r="12" spans="1:38" x14ac:dyDescent="0.3">
      <c r="A12" s="4" t="s">
        <v>21</v>
      </c>
      <c r="B12" s="4" t="s">
        <v>58</v>
      </c>
      <c r="E12" s="4">
        <v>2028</v>
      </c>
      <c r="F12" s="6">
        <v>0.3</v>
      </c>
      <c r="G12" s="5">
        <f t="shared" si="4"/>
        <v>17681.664000000001</v>
      </c>
      <c r="I12" s="4">
        <v>2028</v>
      </c>
      <c r="J12" s="6">
        <v>0.1</v>
      </c>
      <c r="K12">
        <v>1768.1664000000001</v>
      </c>
      <c r="M12" s="4">
        <v>2028</v>
      </c>
      <c r="N12" s="4">
        <v>0</v>
      </c>
      <c r="Q12" s="4">
        <v>2028</v>
      </c>
      <c r="R12" s="4">
        <v>17681.664000000001</v>
      </c>
      <c r="S12" s="5">
        <f t="shared" si="0"/>
        <v>1768.1664000000001</v>
      </c>
      <c r="T12" s="4">
        <v>221</v>
      </c>
      <c r="U12" s="4">
        <v>884</v>
      </c>
      <c r="V12" s="4">
        <v>0</v>
      </c>
      <c r="W12" s="4">
        <v>884</v>
      </c>
      <c r="X12" s="5">
        <f t="shared" si="1"/>
        <v>1547.1664000000001</v>
      </c>
      <c r="Y12" s="14">
        <v>6</v>
      </c>
      <c r="Z12">
        <v>2028</v>
      </c>
      <c r="AA12">
        <v>1547.1664000000001</v>
      </c>
      <c r="AB12">
        <f t="shared" si="2"/>
        <v>0.56447393005377722</v>
      </c>
      <c r="AC12">
        <f t="shared" si="3"/>
        <v>873.33509825515432</v>
      </c>
      <c r="AE12" s="9" t="s">
        <v>46</v>
      </c>
      <c r="AF12" s="15">
        <f>AF6/(1+10%)^6</f>
        <v>18340.037063358239</v>
      </c>
    </row>
    <row r="13" spans="1:38" x14ac:dyDescent="0.3">
      <c r="A13" s="4" t="s">
        <v>22</v>
      </c>
      <c r="B13" s="6">
        <v>0.05</v>
      </c>
      <c r="AB13" s="10" t="s">
        <v>41</v>
      </c>
      <c r="AC13" s="10">
        <f>SUM(AC7:AC12)</f>
        <v>98.028990252099106</v>
      </c>
    </row>
    <row r="14" spans="1:38" x14ac:dyDescent="0.3">
      <c r="F14" s="10" t="s">
        <v>8</v>
      </c>
      <c r="J14" s="10" t="s">
        <v>7</v>
      </c>
      <c r="N14" s="13" t="s">
        <v>11</v>
      </c>
    </row>
    <row r="15" spans="1:38" x14ac:dyDescent="0.3">
      <c r="Q15" s="10" t="s">
        <v>33</v>
      </c>
    </row>
    <row r="16" spans="1:38" x14ac:dyDescent="0.3">
      <c r="Q16" s="10" t="s">
        <v>34</v>
      </c>
    </row>
    <row r="17" spans="2:17" x14ac:dyDescent="0.3">
      <c r="Q17" s="10" t="s">
        <v>35</v>
      </c>
    </row>
    <row r="18" spans="2:17" x14ac:dyDescent="0.3">
      <c r="Q18" s="10" t="s">
        <v>36</v>
      </c>
    </row>
    <row r="19" spans="2:17" x14ac:dyDescent="0.3">
      <c r="C19" s="8"/>
      <c r="Q19" s="10" t="s">
        <v>37</v>
      </c>
    </row>
    <row r="20" spans="2:17" x14ac:dyDescent="0.3">
      <c r="B20" s="8"/>
      <c r="Q20" s="10" t="s">
        <v>38</v>
      </c>
    </row>
  </sheetData>
  <mergeCells count="1">
    <mergeCell ref="AA3:AC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559D0-B848-43C3-AFA0-C71A4BF8D2B2}">
  <dimension ref="A3:U9"/>
  <sheetViews>
    <sheetView topLeftCell="A3" workbookViewId="0">
      <selection activeCell="T26" sqref="T26"/>
    </sheetView>
  </sheetViews>
  <sheetFormatPr defaultRowHeight="14.4" x14ac:dyDescent="0.3"/>
  <cols>
    <col min="1" max="1" width="12.5546875" bestFit="1" customWidth="1"/>
    <col min="2" max="2" width="14.44140625" bestFit="1" customWidth="1"/>
    <col min="9" max="9" width="12.5546875" bestFit="1" customWidth="1"/>
    <col min="10" max="10" width="32.77734375" bestFit="1" customWidth="1"/>
    <col min="20" max="20" width="20" bestFit="1" customWidth="1"/>
    <col min="21" max="21" width="15.44140625" bestFit="1" customWidth="1"/>
  </cols>
  <sheetData>
    <row r="3" spans="1:21" x14ac:dyDescent="0.3">
      <c r="A3" s="17" t="s">
        <v>59</v>
      </c>
      <c r="B3" t="s">
        <v>60</v>
      </c>
      <c r="I3" s="17" t="s">
        <v>59</v>
      </c>
      <c r="J3" t="s">
        <v>61</v>
      </c>
    </row>
    <row r="4" spans="1:21" x14ac:dyDescent="0.3">
      <c r="A4" s="18">
        <v>2023</v>
      </c>
      <c r="B4" s="3">
        <v>-958.4</v>
      </c>
      <c r="I4" s="18">
        <v>2023</v>
      </c>
      <c r="J4">
        <v>-871.27272727272725</v>
      </c>
      <c r="T4" s="17" t="s">
        <v>59</v>
      </c>
      <c r="U4" t="s">
        <v>62</v>
      </c>
    </row>
    <row r="5" spans="1:21" x14ac:dyDescent="0.3">
      <c r="A5" s="18">
        <v>2024</v>
      </c>
      <c r="B5" s="3">
        <v>-807.19999999999993</v>
      </c>
      <c r="I5" s="18">
        <v>2024</v>
      </c>
      <c r="J5">
        <v>-667.10743801652882</v>
      </c>
      <c r="T5" s="18" t="s">
        <v>50</v>
      </c>
      <c r="U5" s="3">
        <v>98</v>
      </c>
    </row>
    <row r="6" spans="1:21" x14ac:dyDescent="0.3">
      <c r="A6" s="18">
        <v>2025</v>
      </c>
      <c r="B6" s="3">
        <v>-150</v>
      </c>
      <c r="I6" s="18">
        <v>2025</v>
      </c>
      <c r="J6">
        <v>-112.69722013523663</v>
      </c>
      <c r="T6" s="18" t="s">
        <v>51</v>
      </c>
      <c r="U6" s="3">
        <v>18312</v>
      </c>
    </row>
    <row r="7" spans="1:21" x14ac:dyDescent="0.3">
      <c r="A7" s="18">
        <v>2026</v>
      </c>
      <c r="B7" s="3">
        <v>385.76</v>
      </c>
      <c r="I7" s="18">
        <v>2026</v>
      </c>
      <c r="J7">
        <v>263.4792705416296</v>
      </c>
    </row>
    <row r="8" spans="1:21" x14ac:dyDescent="0.3">
      <c r="A8" s="18">
        <v>2027</v>
      </c>
      <c r="B8" s="3">
        <v>986.10239999999999</v>
      </c>
      <c r="I8" s="18">
        <v>2027</v>
      </c>
      <c r="J8">
        <v>612.29200687980801</v>
      </c>
    </row>
    <row r="9" spans="1:21" x14ac:dyDescent="0.3">
      <c r="A9" s="18">
        <v>2028</v>
      </c>
      <c r="B9" s="3">
        <v>1547.1664000000001</v>
      </c>
      <c r="I9" s="18">
        <v>2028</v>
      </c>
      <c r="J9">
        <v>873.33509825515432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F353-6A17-48F8-802D-98321B4A9738}">
  <dimension ref="A1"/>
  <sheetViews>
    <sheetView showGridLines="0" workbookViewId="0">
      <selection activeCell="D23" sqref="D2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Calculations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</dc:creator>
  <cp:lastModifiedBy>kiran kumar</cp:lastModifiedBy>
  <dcterms:created xsi:type="dcterms:W3CDTF">2025-07-08T10:54:56Z</dcterms:created>
  <dcterms:modified xsi:type="dcterms:W3CDTF">2025-07-31T10:11:06Z</dcterms:modified>
</cp:coreProperties>
</file>